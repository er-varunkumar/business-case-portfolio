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arun_Skills\"/>
    </mc:Choice>
  </mc:AlternateContent>
  <xr:revisionPtr revIDLastSave="0" documentId="13_ncr:1_{63A53243-FE17-4A56-A4E5-858C551FE608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Executive Summary" sheetId="1" r:id="rId1"/>
    <sheet name="Revenue Model" sheetId="2" r:id="rId2"/>
    <sheet name="Cost Structure" sheetId="3" r:id="rId3"/>
    <sheet name="Investment Requirements" sheetId="4" r:id="rId4"/>
    <sheet name="Profit &amp; Loss" sheetId="5" r:id="rId5"/>
    <sheet name="Cash Flow" sheetId="6" r:id="rId6"/>
    <sheet name="KPIs &amp; Metrics" sheetId="7" r:id="rId7"/>
    <sheet name="Sensitivity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/>
  <c r="B11" i="8"/>
  <c r="B13" i="7"/>
  <c r="B12" i="7"/>
  <c r="B11" i="7"/>
  <c r="B10" i="7"/>
  <c r="B7" i="7"/>
  <c r="B5" i="7"/>
  <c r="B6" i="7"/>
  <c r="B14" i="6"/>
  <c r="B13" i="6"/>
  <c r="B11" i="6"/>
  <c r="B10" i="6"/>
  <c r="B9" i="6"/>
  <c r="B6" i="6"/>
  <c r="B6" i="5"/>
  <c r="B9" i="5" s="1"/>
  <c r="B10" i="5" s="1"/>
  <c r="B18" i="5"/>
  <c r="B17" i="5"/>
  <c r="B16" i="5"/>
  <c r="B15" i="5"/>
  <c r="B14" i="5"/>
  <c r="B15" i="4"/>
  <c r="B14" i="4"/>
  <c r="B12" i="4"/>
  <c r="B9" i="4"/>
  <c r="D10" i="2"/>
  <c r="C10" i="2"/>
  <c r="B12" i="2"/>
  <c r="D7" i="2"/>
  <c r="D6" i="2"/>
  <c r="C7" i="2"/>
  <c r="C6" i="2"/>
  <c r="B7" i="2"/>
  <c r="B5" i="1"/>
  <c r="B9" i="1"/>
  <c r="B8" i="1"/>
  <c r="B7" i="1"/>
  <c r="B6" i="1"/>
  <c r="B21" i="5" l="1"/>
  <c r="B22" i="5" s="1"/>
  <c r="B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tc={8E5745EF-117E-499D-96CB-94D5EAB24A9C}</author>
  </authors>
  <commentList>
    <comment ref="B11" authorId="0" shapeId="0" xr:uid="{8E5745EF-117E-499D-96CB-94D5EAB24A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assuming 15% of revenue </t>
      </text>
    </comment>
  </commentList>
</comments>
</file>

<file path=xl/sharedStrings.xml><?xml version="1.0" encoding="utf-8"?>
<sst xmlns="http://schemas.openxmlformats.org/spreadsheetml/2006/main" count="95" uniqueCount="87">
  <si>
    <t>Financial Model - E-commerce Market Entry</t>
  </si>
  <si>
    <t>Key Metrics Dashboard</t>
  </si>
  <si>
    <t>Total Investment Required:</t>
  </si>
  <si>
    <t>3-Year Revenue Projection:</t>
  </si>
  <si>
    <t>Breakeven Month:</t>
  </si>
  <si>
    <t>ROI (3-Year):</t>
  </si>
  <si>
    <t>Payback Period:</t>
  </si>
  <si>
    <t>Revenue Projections</t>
  </si>
  <si>
    <t>Year 1</t>
  </si>
  <si>
    <t>Year 2</t>
  </si>
  <si>
    <t>Year 3</t>
  </si>
  <si>
    <t>Customers</t>
  </si>
  <si>
    <t>New Customers</t>
  </si>
  <si>
    <t>Total Customers</t>
  </si>
  <si>
    <t>Sales Metrics</t>
  </si>
  <si>
    <t>Average Order Value</t>
  </si>
  <si>
    <t>Orders per Customer</t>
  </si>
  <si>
    <t>Monthly Revenue</t>
  </si>
  <si>
    <t>Revenue by Channel</t>
  </si>
  <si>
    <t>Marketplace</t>
  </si>
  <si>
    <t>D2C Website</t>
  </si>
  <si>
    <t>Cost Structure</t>
  </si>
  <si>
    <t>Variable Costs (% of Revenue)</t>
  </si>
  <si>
    <t>Cost of Goods Sold</t>
  </si>
  <si>
    <t>Payment Processing</t>
  </si>
  <si>
    <t>Shipping &amp; Handling</t>
  </si>
  <si>
    <t>Returns &amp; Refunds</t>
  </si>
  <si>
    <t>Fixed Costs (Monthly)</t>
  </si>
  <si>
    <t>Team Salaries</t>
  </si>
  <si>
    <t>Marketing Retainer</t>
  </si>
  <si>
    <t>Software Subscriptions</t>
  </si>
  <si>
    <t>Office &amp; Operations</t>
  </si>
  <si>
    <t>Investment Requirements</t>
  </si>
  <si>
    <t>Technology Setup</t>
  </si>
  <si>
    <t>Legal &amp; Incorporation</t>
  </si>
  <si>
    <t>Initial Inventory</t>
  </si>
  <si>
    <t>Market Research</t>
  </si>
  <si>
    <t>Total One-Time</t>
  </si>
  <si>
    <t>Working Capital (3 Months)</t>
  </si>
  <si>
    <t>Operating Expenses</t>
  </si>
  <si>
    <t>Marketing Buffer</t>
  </si>
  <si>
    <t>Contingency (15%)</t>
  </si>
  <si>
    <t>Total Investment</t>
  </si>
  <si>
    <t>One-Time Costs</t>
  </si>
  <si>
    <t>Profit &amp; Loss Statement</t>
  </si>
  <si>
    <t>Revenue</t>
  </si>
  <si>
    <t>Total Revenue</t>
  </si>
  <si>
    <t>Cost of Sales</t>
  </si>
  <si>
    <t>COGS</t>
  </si>
  <si>
    <t>Gross Profit</t>
  </si>
  <si>
    <t>Gross Margin %</t>
  </si>
  <si>
    <t>Team Costs</t>
  </si>
  <si>
    <t>Marketing</t>
  </si>
  <si>
    <t>Software</t>
  </si>
  <si>
    <t>Operations</t>
  </si>
  <si>
    <t>Total OpEx</t>
  </si>
  <si>
    <t>EBITDA</t>
  </si>
  <si>
    <t>EBITDA Margin %</t>
  </si>
  <si>
    <t>Monthly Cash Flow</t>
  </si>
  <si>
    <t>Month</t>
  </si>
  <si>
    <t>Cash In</t>
  </si>
  <si>
    <t>Cash Out</t>
  </si>
  <si>
    <t>Fixed Costs</t>
  </si>
  <si>
    <t>Marketing Variable</t>
  </si>
  <si>
    <t>Net Cash Flow</t>
  </si>
  <si>
    <t>Cumulative Cash</t>
  </si>
  <si>
    <t>Key Performance Indicators</t>
  </si>
  <si>
    <t>Customer Metrics</t>
  </si>
  <si>
    <t>CAC (Customer Acquisition Cost)</t>
  </si>
  <si>
    <t>LTV (Lifetime Value)</t>
  </si>
  <si>
    <t>LTV/CAC Ratio</t>
  </si>
  <si>
    <t>Financial Metrics</t>
  </si>
  <si>
    <t>Gross Margin</t>
  </si>
  <si>
    <t>Operating Margin</t>
  </si>
  <si>
    <t>Monthly Burn Rate</t>
  </si>
  <si>
    <t>Runway (Months)</t>
  </si>
  <si>
    <t>Sensitivity Analysis - Impact on Year 3 Revenue</t>
  </si>
  <si>
    <t>Scenario</t>
  </si>
  <si>
    <t>Assumptions</t>
  </si>
  <si>
    <t>Customer Growth</t>
  </si>
  <si>
    <t>Conversion Rate</t>
  </si>
  <si>
    <t>Results</t>
  </si>
  <si>
    <t>Year 3 Revenue</t>
  </si>
  <si>
    <t>Year 3 EBITDA</t>
  </si>
  <si>
    <t>Base Case</t>
  </si>
  <si>
    <t>Optimistic</t>
  </si>
  <si>
    <t>Pessimistic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</si>
</sst>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run Kumar" id="{4570552F-5030-49ED-ACC1-4FA3F85E2FE0}" userId="Varun Kuma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11-20T21:17:12.97" personId="{4570552F-5030-49ED-ACC1-4FA3F85E2FE0}" id="{8E5745EF-117E-499D-96CB-94D5EAB24A9C}">
    <text xml:space="preserve">assuming 15% of revenue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5" sqref="B5"/>
    </sheetView>
  </sheetViews>
  <sheetFormatPr defaultRowHeight="14.4" x14ac:dyDescent="0.3"/>
  <cols>
    <col min="1" max="1" width="37.33203125" bestFit="1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5" spans="1:2" x14ac:dyDescent="0.3">
      <c r="A5" t="s">
        <v>2</v>
      </c>
      <c r="B5">
        <f>'Investment Requirements'!B10</f>
        <v>0</v>
      </c>
    </row>
    <row r="6" spans="1:2" x14ac:dyDescent="0.3">
      <c r="A6" t="s">
        <v>3</v>
      </c>
      <c r="B6">
        <f>'Revenue Model'!B20</f>
        <v>0</v>
      </c>
    </row>
    <row r="7" spans="1:2" x14ac:dyDescent="0.3">
      <c r="A7" t="s">
        <v>4</v>
      </c>
      <c r="B7">
        <f>'Profit &amp; Loss'!B25</f>
        <v>0</v>
      </c>
    </row>
    <row r="8" spans="1:2" x14ac:dyDescent="0.3">
      <c r="A8" t="s">
        <v>5</v>
      </c>
      <c r="B8">
        <f>'Profit &amp; Loss'!B30</f>
        <v>0</v>
      </c>
    </row>
    <row r="9" spans="1:2" x14ac:dyDescent="0.3">
      <c r="A9" t="s">
        <v>6</v>
      </c>
      <c r="B9">
        <f>'Investment Requirements'!B15</f>
        <v>207000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F329-71EA-4BE5-B6C6-54E6875E6231}">
  <dimension ref="A1:E16"/>
  <sheetViews>
    <sheetView workbookViewId="0">
      <selection activeCell="J13" sqref="J13"/>
    </sheetView>
  </sheetViews>
  <sheetFormatPr defaultRowHeight="14.4" x14ac:dyDescent="0.3"/>
  <cols>
    <col min="1" max="1" width="17.77734375" bestFit="1" customWidth="1"/>
    <col min="2" max="2" width="14" bestFit="1" customWidth="1"/>
  </cols>
  <sheetData>
    <row r="1" spans="1:5" x14ac:dyDescent="0.3">
      <c r="A1" t="s">
        <v>7</v>
      </c>
    </row>
    <row r="3" spans="1:5" x14ac:dyDescent="0.3">
      <c r="A3" t="s">
        <v>8</v>
      </c>
      <c r="B3" t="s">
        <v>9</v>
      </c>
      <c r="C3" t="s">
        <v>10</v>
      </c>
    </row>
    <row r="5" spans="1:5" x14ac:dyDescent="0.3">
      <c r="A5" t="s">
        <v>11</v>
      </c>
    </row>
    <row r="6" spans="1:5" x14ac:dyDescent="0.3">
      <c r="A6" t="s">
        <v>12</v>
      </c>
      <c r="B6">
        <v>25000</v>
      </c>
      <c r="C6">
        <f>B6*1.8</f>
        <v>45000</v>
      </c>
      <c r="D6">
        <f>C6*1.6</f>
        <v>72000</v>
      </c>
    </row>
    <row r="7" spans="1:5" x14ac:dyDescent="0.3">
      <c r="A7" t="s">
        <v>13</v>
      </c>
      <c r="B7">
        <f>B6</f>
        <v>25000</v>
      </c>
      <c r="C7">
        <f>B7+C6</f>
        <v>70000</v>
      </c>
      <c r="D7">
        <f>C7+D6</f>
        <v>142000</v>
      </c>
    </row>
    <row r="9" spans="1:5" x14ac:dyDescent="0.3">
      <c r="A9" t="s">
        <v>14</v>
      </c>
    </row>
    <row r="10" spans="1:5" x14ac:dyDescent="0.3">
      <c r="A10" t="s">
        <v>15</v>
      </c>
      <c r="B10">
        <v>85</v>
      </c>
      <c r="C10">
        <f>B10*1.08</f>
        <v>91.800000000000011</v>
      </c>
      <c r="D10">
        <f>C10*1.06</f>
        <v>97.308000000000021</v>
      </c>
    </row>
    <row r="11" spans="1:5" x14ac:dyDescent="0.3">
      <c r="A11" t="s">
        <v>16</v>
      </c>
      <c r="B11">
        <v>1.2</v>
      </c>
      <c r="C11">
        <v>1.4</v>
      </c>
      <c r="D11">
        <v>1.6</v>
      </c>
    </row>
    <row r="12" spans="1:5" x14ac:dyDescent="0.3">
      <c r="A12" t="s">
        <v>17</v>
      </c>
      <c r="B12">
        <f>B7*B10*B11/12</f>
        <v>212500</v>
      </c>
    </row>
    <row r="14" spans="1:5" x14ac:dyDescent="0.3">
      <c r="A14" t="s">
        <v>18</v>
      </c>
      <c r="E14" s="1"/>
    </row>
    <row r="15" spans="1:5" x14ac:dyDescent="0.3">
      <c r="A15" t="s">
        <v>19</v>
      </c>
      <c r="B15" s="1">
        <v>0.7</v>
      </c>
      <c r="C15" s="1">
        <v>0.6</v>
      </c>
      <c r="D15" s="1">
        <v>0.5</v>
      </c>
    </row>
    <row r="16" spans="1:5" x14ac:dyDescent="0.3">
      <c r="A16" t="s">
        <v>20</v>
      </c>
      <c r="B16" s="1">
        <v>0.3</v>
      </c>
      <c r="C16" s="1">
        <v>0.4</v>
      </c>
      <c r="D16" s="1">
        <v>0.5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77CB-0C49-4A1C-8538-90FBDA235938}">
  <dimension ref="A1:D14"/>
  <sheetViews>
    <sheetView workbookViewId="0">
      <selection activeCell="B5" sqref="B5"/>
    </sheetView>
  </sheetViews>
  <sheetFormatPr defaultRowHeight="14.4" x14ac:dyDescent="0.3"/>
  <cols>
    <col min="1" max="1" width="25.6640625" bestFit="1" customWidth="1"/>
    <col min="3" max="3" width="9.44140625" bestFit="1" customWidth="1"/>
  </cols>
  <sheetData>
    <row r="1" spans="1:4" x14ac:dyDescent="0.3">
      <c r="A1" t="s">
        <v>21</v>
      </c>
    </row>
    <row r="3" spans="1:4" x14ac:dyDescent="0.3">
      <c r="A3" t="s">
        <v>22</v>
      </c>
    </row>
    <row r="5" spans="1:4" x14ac:dyDescent="0.3">
      <c r="A5" t="s">
        <v>23</v>
      </c>
      <c r="B5" s="2">
        <v>0.45</v>
      </c>
      <c r="C5" s="1">
        <v>0.43</v>
      </c>
      <c r="D5" s="1">
        <v>0.42</v>
      </c>
    </row>
    <row r="6" spans="1:4" x14ac:dyDescent="0.3">
      <c r="A6" t="s">
        <v>24</v>
      </c>
      <c r="B6" s="2">
        <v>2.5000000000000001E-2</v>
      </c>
      <c r="C6" s="1">
        <v>2.5000000000000001E-2</v>
      </c>
      <c r="D6" s="2">
        <v>2.5000000000000001E-2</v>
      </c>
    </row>
    <row r="7" spans="1:4" x14ac:dyDescent="0.3">
      <c r="A7" t="s">
        <v>25</v>
      </c>
      <c r="B7" s="1">
        <v>0.08</v>
      </c>
      <c r="C7" s="1">
        <v>7.0000000000000007E-2</v>
      </c>
      <c r="D7" s="1">
        <v>0.06</v>
      </c>
    </row>
    <row r="8" spans="1:4" x14ac:dyDescent="0.3">
      <c r="A8" t="s">
        <v>26</v>
      </c>
      <c r="B8" s="1">
        <v>0.05</v>
      </c>
      <c r="C8" s="1">
        <v>0.04</v>
      </c>
      <c r="D8" s="1">
        <v>0.03</v>
      </c>
    </row>
    <row r="10" spans="1:4" x14ac:dyDescent="0.3">
      <c r="A10" t="s">
        <v>27</v>
      </c>
    </row>
    <row r="11" spans="1:4" x14ac:dyDescent="0.3">
      <c r="A11" t="s">
        <v>28</v>
      </c>
      <c r="B11">
        <v>15000</v>
      </c>
      <c r="C11">
        <v>18000</v>
      </c>
      <c r="D11">
        <v>20000</v>
      </c>
    </row>
    <row r="12" spans="1:4" x14ac:dyDescent="0.3">
      <c r="A12" t="s">
        <v>29</v>
      </c>
      <c r="B12">
        <v>10000</v>
      </c>
      <c r="C12">
        <v>12000</v>
      </c>
      <c r="D12">
        <v>15000</v>
      </c>
    </row>
    <row r="13" spans="1:4" x14ac:dyDescent="0.3">
      <c r="A13" t="s">
        <v>30</v>
      </c>
      <c r="B13">
        <v>2000</v>
      </c>
      <c r="C13">
        <v>2500</v>
      </c>
      <c r="D13">
        <v>3000</v>
      </c>
    </row>
    <row r="14" spans="1:4" x14ac:dyDescent="0.3">
      <c r="A14" t="s">
        <v>31</v>
      </c>
      <c r="B14">
        <v>3000</v>
      </c>
      <c r="C14">
        <v>3500</v>
      </c>
      <c r="D14">
        <v>4000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0494-1394-4288-8950-DF26BAFEF377}">
  <dimension ref="A1:B17"/>
  <sheetViews>
    <sheetView tabSelected="1" workbookViewId="0">
      <selection activeCell="E13" sqref="E13"/>
    </sheetView>
  </sheetViews>
  <sheetFormatPr defaultRowHeight="14.4" x14ac:dyDescent="0.3"/>
  <cols>
    <col min="1" max="1" width="23.44140625" bestFit="1" customWidth="1"/>
  </cols>
  <sheetData>
    <row r="1" spans="1:2" x14ac:dyDescent="0.3">
      <c r="A1" t="s">
        <v>32</v>
      </c>
    </row>
    <row r="3" spans="1:2" x14ac:dyDescent="0.3">
      <c r="A3" t="s">
        <v>43</v>
      </c>
    </row>
    <row r="5" spans="1:2" x14ac:dyDescent="0.3">
      <c r="A5" t="s">
        <v>33</v>
      </c>
      <c r="B5">
        <v>50000</v>
      </c>
    </row>
    <row r="6" spans="1:2" x14ac:dyDescent="0.3">
      <c r="A6" t="s">
        <v>34</v>
      </c>
      <c r="B6">
        <v>15000</v>
      </c>
    </row>
    <row r="7" spans="1:2" x14ac:dyDescent="0.3">
      <c r="A7" t="s">
        <v>35</v>
      </c>
      <c r="B7">
        <v>75000</v>
      </c>
    </row>
    <row r="8" spans="1:2" x14ac:dyDescent="0.3">
      <c r="A8" t="s">
        <v>36</v>
      </c>
      <c r="B8">
        <v>10000</v>
      </c>
    </row>
    <row r="9" spans="1:2" x14ac:dyDescent="0.3">
      <c r="A9" t="s">
        <v>37</v>
      </c>
      <c r="B9">
        <f>SUM(B5:B8)</f>
        <v>150000</v>
      </c>
    </row>
    <row r="11" spans="1:2" x14ac:dyDescent="0.3">
      <c r="A11" t="s">
        <v>38</v>
      </c>
    </row>
    <row r="12" spans="1:2" x14ac:dyDescent="0.3">
      <c r="A12" t="s">
        <v>39</v>
      </c>
      <c r="B12">
        <f>'Cost Structure'!B15*3</f>
        <v>0</v>
      </c>
    </row>
    <row r="13" spans="1:2" x14ac:dyDescent="0.3">
      <c r="A13" t="s">
        <v>40</v>
      </c>
      <c r="B13">
        <v>30000</v>
      </c>
    </row>
    <row r="14" spans="1:2" x14ac:dyDescent="0.3">
      <c r="A14" t="s">
        <v>41</v>
      </c>
      <c r="B14">
        <f>(B9+B12+B13)*0.15</f>
        <v>27000</v>
      </c>
    </row>
    <row r="15" spans="1:2" x14ac:dyDescent="0.3">
      <c r="A15" t="s">
        <v>42</v>
      </c>
      <c r="B15" s="4">
        <f>SUM(B9:B14)</f>
        <v>207000</v>
      </c>
    </row>
    <row r="16" spans="1:2" x14ac:dyDescent="0.3">
      <c r="A16" s="3"/>
    </row>
    <row r="17" spans="1:1" x14ac:dyDescent="0.3">
      <c r="A1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FE60-873A-4E67-9821-67BC29FF092C}">
  <dimension ref="A1:C22"/>
  <sheetViews>
    <sheetView topLeftCell="A4" workbookViewId="0">
      <selection activeCell="E19" sqref="E19"/>
    </sheetView>
  </sheetViews>
  <sheetFormatPr defaultRowHeight="14.4" x14ac:dyDescent="0.3"/>
  <cols>
    <col min="1" max="1" width="20.44140625" bestFit="1" customWidth="1"/>
    <col min="2" max="2" width="23.109375" bestFit="1" customWidth="1"/>
  </cols>
  <sheetData>
    <row r="1" spans="1:3" x14ac:dyDescent="0.3">
      <c r="A1" t="s">
        <v>44</v>
      </c>
    </row>
    <row r="3" spans="1:3" x14ac:dyDescent="0.3">
      <c r="A3" t="s">
        <v>8</v>
      </c>
      <c r="B3" t="s">
        <v>9</v>
      </c>
      <c r="C3" t="s">
        <v>10</v>
      </c>
    </row>
    <row r="5" spans="1:3" x14ac:dyDescent="0.3">
      <c r="A5" t="s">
        <v>45</v>
      </c>
    </row>
    <row r="6" spans="1:3" x14ac:dyDescent="0.3">
      <c r="A6" t="s">
        <v>46</v>
      </c>
      <c r="B6">
        <f>'Revenue Model'!B12*12</f>
        <v>2550000</v>
      </c>
    </row>
    <row r="8" spans="1:3" x14ac:dyDescent="0.3">
      <c r="A8" t="s">
        <v>47</v>
      </c>
    </row>
    <row r="9" spans="1:3" x14ac:dyDescent="0.3">
      <c r="A9" t="s">
        <v>48</v>
      </c>
      <c r="B9">
        <f>B6*'Cost Structure'!B5</f>
        <v>1147500</v>
      </c>
    </row>
    <row r="10" spans="1:3" x14ac:dyDescent="0.3">
      <c r="A10" t="s">
        <v>49</v>
      </c>
      <c r="B10">
        <f>B6-B9</f>
        <v>1402500</v>
      </c>
    </row>
    <row r="11" spans="1:3" x14ac:dyDescent="0.3">
      <c r="A11" t="s">
        <v>50</v>
      </c>
      <c r="B11">
        <f>B10/B6</f>
        <v>0.55000000000000004</v>
      </c>
    </row>
    <row r="13" spans="1:3" x14ac:dyDescent="0.3">
      <c r="A13" t="s">
        <v>39</v>
      </c>
    </row>
    <row r="14" spans="1:3" x14ac:dyDescent="0.3">
      <c r="A14" t="s">
        <v>51</v>
      </c>
      <c r="B14">
        <f>'Cost Structure'!B11*12</f>
        <v>180000</v>
      </c>
    </row>
    <row r="15" spans="1:3" x14ac:dyDescent="0.3">
      <c r="A15" t="s">
        <v>52</v>
      </c>
      <c r="B15">
        <f>'Cost Structure'!B12*12</f>
        <v>120000</v>
      </c>
    </row>
    <row r="16" spans="1:3" x14ac:dyDescent="0.3">
      <c r="A16" t="s">
        <v>53</v>
      </c>
      <c r="B16">
        <f>'Cost Structure'!B13*12</f>
        <v>24000</v>
      </c>
    </row>
    <row r="17" spans="1:2" x14ac:dyDescent="0.3">
      <c r="A17" t="s">
        <v>54</v>
      </c>
      <c r="B17">
        <f>'Cost Structure'!B14*12</f>
        <v>36000</v>
      </c>
    </row>
    <row r="18" spans="1:2" x14ac:dyDescent="0.3">
      <c r="A18" t="s">
        <v>55</v>
      </c>
      <c r="B18">
        <f>SUM(B14:B17)</f>
        <v>360000</v>
      </c>
    </row>
    <row r="20" spans="1:2" x14ac:dyDescent="0.3">
      <c r="A20" t="s">
        <v>56</v>
      </c>
    </row>
    <row r="21" spans="1:2" x14ac:dyDescent="0.3">
      <c r="A21" t="s">
        <v>56</v>
      </c>
      <c r="B21">
        <f>B10-B18</f>
        <v>1042500</v>
      </c>
    </row>
    <row r="22" spans="1:2" x14ac:dyDescent="0.3">
      <c r="A22" t="s">
        <v>57</v>
      </c>
      <c r="B22">
        <f>B21/B6</f>
        <v>0.4088235294117647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5D98-C39B-4273-9217-A0B345D03360}">
  <dimension ref="A1:AK14"/>
  <sheetViews>
    <sheetView workbookViewId="0">
      <selection activeCell="G11" sqref="G11"/>
    </sheetView>
  </sheetViews>
  <sheetFormatPr defaultRowHeight="14.4" x14ac:dyDescent="0.3"/>
  <cols>
    <col min="1" max="1" width="16.5546875" bestFit="1" customWidth="1"/>
  </cols>
  <sheetData>
    <row r="1" spans="1:37" x14ac:dyDescent="0.3">
      <c r="A1" t="s">
        <v>58</v>
      </c>
    </row>
    <row r="3" spans="1:37" x14ac:dyDescent="0.3">
      <c r="A3" t="s">
        <v>59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</row>
    <row r="5" spans="1:37" x14ac:dyDescent="0.3">
      <c r="A5" t="s">
        <v>60</v>
      </c>
    </row>
    <row r="6" spans="1:37" x14ac:dyDescent="0.3">
      <c r="A6" t="s">
        <v>45</v>
      </c>
      <c r="B6">
        <f>'Revenue Model'!B12</f>
        <v>212500</v>
      </c>
    </row>
    <row r="8" spans="1:37" x14ac:dyDescent="0.3">
      <c r="A8" t="s">
        <v>61</v>
      </c>
    </row>
    <row r="9" spans="1:37" x14ac:dyDescent="0.3">
      <c r="A9" t="s">
        <v>48</v>
      </c>
      <c r="B9">
        <f>B6*'Cost Structure'!B5</f>
        <v>95625</v>
      </c>
    </row>
    <row r="10" spans="1:37" x14ac:dyDescent="0.3">
      <c r="A10" t="s">
        <v>62</v>
      </c>
      <c r="B10">
        <f>SUM('Cost Structure'!B11:B14)</f>
        <v>30000</v>
      </c>
    </row>
    <row r="11" spans="1:37" x14ac:dyDescent="0.3">
      <c r="A11" t="s">
        <v>63</v>
      </c>
      <c r="B11">
        <f>B6*0.15</f>
        <v>31875</v>
      </c>
    </row>
    <row r="13" spans="1:37" x14ac:dyDescent="0.3">
      <c r="A13" t="s">
        <v>64</v>
      </c>
      <c r="B13">
        <f>B6-SUM(B9:B11)</f>
        <v>55000</v>
      </c>
    </row>
    <row r="14" spans="1:37" x14ac:dyDescent="0.3">
      <c r="A14" t="s">
        <v>65</v>
      </c>
      <c r="B14">
        <f>'Investment Requirements'!B15+B13</f>
        <v>262000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4D91-BD20-4C41-9814-31AFAD9B7E31}">
  <dimension ref="A1:B13"/>
  <sheetViews>
    <sheetView workbookViewId="0">
      <selection activeCell="O13" sqref="O13"/>
    </sheetView>
  </sheetViews>
  <sheetFormatPr defaultRowHeight="14.4" x14ac:dyDescent="0.3"/>
  <cols>
    <col min="1" max="1" width="27.6640625" bestFit="1" customWidth="1"/>
    <col min="2" max="2" width="11.77734375" customWidth="1"/>
  </cols>
  <sheetData>
    <row r="1" spans="1:2" x14ac:dyDescent="0.3">
      <c r="A1" t="s">
        <v>66</v>
      </c>
    </row>
    <row r="3" spans="1:2" x14ac:dyDescent="0.3">
      <c r="A3" t="s">
        <v>67</v>
      </c>
    </row>
    <row r="5" spans="1:2" x14ac:dyDescent="0.3">
      <c r="A5" t="s">
        <v>68</v>
      </c>
      <c r="B5">
        <f>'Cost Structure'!B12/'Revenue Model'!B6</f>
        <v>0.4</v>
      </c>
    </row>
    <row r="6" spans="1:2" x14ac:dyDescent="0.3">
      <c r="A6" t="s">
        <v>69</v>
      </c>
      <c r="B6">
        <f>'Revenue Model'!B10*'Revenue Model'!B11*12</f>
        <v>1224</v>
      </c>
    </row>
    <row r="7" spans="1:2" x14ac:dyDescent="0.3">
      <c r="A7" t="s">
        <v>70</v>
      </c>
      <c r="B7">
        <f>B6/B5</f>
        <v>3060</v>
      </c>
    </row>
    <row r="9" spans="1:2" x14ac:dyDescent="0.3">
      <c r="A9" t="s">
        <v>71</v>
      </c>
    </row>
    <row r="10" spans="1:2" x14ac:dyDescent="0.3">
      <c r="A10" t="s">
        <v>72</v>
      </c>
      <c r="B10">
        <f>'Profit &amp; Loss'!B11</f>
        <v>0.55000000000000004</v>
      </c>
    </row>
    <row r="11" spans="1:2" x14ac:dyDescent="0.3">
      <c r="A11" t="s">
        <v>73</v>
      </c>
      <c r="B11">
        <f>'Profit &amp; Loss'!B22</f>
        <v>0.4088235294117647</v>
      </c>
    </row>
    <row r="12" spans="1:2" x14ac:dyDescent="0.3">
      <c r="A12" t="s">
        <v>74</v>
      </c>
      <c r="B12">
        <f>'Cash Flow'!B10</f>
        <v>30000</v>
      </c>
    </row>
    <row r="13" spans="1:2" x14ac:dyDescent="0.3">
      <c r="A13" t="s">
        <v>75</v>
      </c>
      <c r="B13">
        <f>'Investment Requirements'!B15/B12</f>
        <v>6.9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C2BF-BCE4-4E73-9E39-29DB9A4CCFF3}">
  <dimension ref="A1:D12"/>
  <sheetViews>
    <sheetView workbookViewId="0">
      <selection activeCell="D13" sqref="D13"/>
    </sheetView>
  </sheetViews>
  <sheetFormatPr defaultRowHeight="14.4" x14ac:dyDescent="0.3"/>
  <cols>
    <col min="1" max="1" width="39.5546875" bestFit="1" customWidth="1"/>
    <col min="2" max="3" width="9.21875" bestFit="1" customWidth="1"/>
    <col min="4" max="4" width="9.77734375" bestFit="1" customWidth="1"/>
  </cols>
  <sheetData>
    <row r="1" spans="1:4" x14ac:dyDescent="0.3">
      <c r="A1" t="s">
        <v>76</v>
      </c>
    </row>
    <row r="3" spans="1:4" x14ac:dyDescent="0.3">
      <c r="A3" t="s">
        <v>77</v>
      </c>
      <c r="B3" t="s">
        <v>84</v>
      </c>
      <c r="C3" t="s">
        <v>85</v>
      </c>
      <c r="D3" t="s">
        <v>86</v>
      </c>
    </row>
    <row r="5" spans="1:4" x14ac:dyDescent="0.3">
      <c r="A5" t="s">
        <v>78</v>
      </c>
    </row>
    <row r="6" spans="1:4" x14ac:dyDescent="0.3">
      <c r="A6" t="s">
        <v>79</v>
      </c>
      <c r="B6" s="1">
        <v>0.6</v>
      </c>
      <c r="C6" s="1">
        <v>0.8</v>
      </c>
      <c r="D6" s="1">
        <v>0.4</v>
      </c>
    </row>
    <row r="7" spans="1:4" x14ac:dyDescent="0.3">
      <c r="A7" t="s">
        <v>15</v>
      </c>
      <c r="B7" s="1">
        <v>0.06</v>
      </c>
      <c r="C7" s="1">
        <v>0.1</v>
      </c>
      <c r="D7" s="1">
        <v>0.02</v>
      </c>
    </row>
    <row r="8" spans="1:4" x14ac:dyDescent="0.3">
      <c r="A8" t="s">
        <v>80</v>
      </c>
      <c r="B8" s="2">
        <v>2.8000000000000001E-2</v>
      </c>
      <c r="C8" s="2">
        <v>3.5000000000000003E-2</v>
      </c>
      <c r="D8" s="2">
        <v>0.02</v>
      </c>
    </row>
    <row r="10" spans="1:4" x14ac:dyDescent="0.3">
      <c r="A10" t="s">
        <v>81</v>
      </c>
    </row>
    <row r="11" spans="1:4" x14ac:dyDescent="0.3">
      <c r="A11" t="s">
        <v>82</v>
      </c>
      <c r="B11">
        <f>'Revenue Model'!D12*12</f>
        <v>0</v>
      </c>
    </row>
    <row r="12" spans="1:4" x14ac:dyDescent="0.3">
      <c r="A12" t="s">
        <v>83</v>
      </c>
      <c r="B12">
        <f>'Profit &amp; Loss'!C21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Revenue Model</vt:lpstr>
      <vt:lpstr>Cost Structure</vt:lpstr>
      <vt:lpstr>Investment Requirements</vt:lpstr>
      <vt:lpstr>Profit &amp; Loss</vt:lpstr>
      <vt:lpstr>Cash Flow</vt:lpstr>
      <vt:lpstr>KPIs &amp; Metrics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Kumar</dc:creator>
  <cp:lastModifiedBy>Varun Kumar</cp:lastModifiedBy>
  <dcterms:created xsi:type="dcterms:W3CDTF">2015-06-05T18:17:20Z</dcterms:created>
  <dcterms:modified xsi:type="dcterms:W3CDTF">2025-11-20T21:27:30Z</dcterms:modified>
</cp:coreProperties>
</file>